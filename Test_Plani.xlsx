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ı" sheetId="1" state="visible" r:id="rId3"/>
    <sheet name="Kabul Kapısı" sheetId="2" state="visible" r:id="rId4"/>
    <sheet name="Özet" sheetId="3" state="visible" r:id="rId5"/>
  </sheets>
  <definedNames>
    <definedName function="false" hidden="true" localSheetId="0" name="_xlnm._FilterDatabase" vbProcedure="false">'Test Planı'!$A$4:$I$46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<sst xmlns="http://schemas.openxmlformats.org/spreadsheetml/2006/main" count="322" uniqueCount="165">
  <si>
    <t xml:space="preserve">Collections Builder — Test Planı ve Karar Kuralları</t>
  </si>
  <si>
    <t xml:space="preserve">Gürültü = baseline 3 kez koşturulunca ölçülen 2×SD. Sarı sütunlar ekip tarafından doldurulur (Durum açılır listeden).</t>
  </si>
  <si>
    <t xml:space="preserve">Bölüm</t>
  </si>
  <si>
    <t xml:space="preserve">Test ID</t>
  </si>
  <si>
    <t xml:space="preserve">Test</t>
  </si>
  <si>
    <t xml:space="preserve">Önkoşul</t>
  </si>
  <si>
    <t xml:space="preserve">Sonuç</t>
  </si>
  <si>
    <t xml:space="preserve">Ne yapılır</t>
  </si>
  <si>
    <t xml:space="preserve">Durum</t>
  </si>
  <si>
    <t xml:space="preserve">Gerçek sonuç</t>
  </si>
  <si>
    <t xml:space="preserve">Not</t>
  </si>
  <si>
    <t xml:space="preserve">0. Önce ölçülecekler</t>
  </si>
  <si>
    <t xml:space="preserve">T0.1</t>
  </si>
  <si>
    <t xml:space="preserve">Baseline × 3</t>
  </si>
  <si>
    <t xml:space="preserve">—</t>
  </si>
  <si>
    <t xml:space="preserve">2×SD = gürültü eşiği</t>
  </si>
  <si>
    <t xml:space="preserve">Bu eşiğin altındaki hiçbir farka “kazanç” denmez.</t>
  </si>
  <si>
    <t xml:space="preserve">Bekliyor</t>
  </si>
  <si>
    <t xml:space="preserve">T0.2</t>
  </si>
  <si>
    <t xml:space="preserve">Lokal yargıç ile Freya verdict uyumu</t>
  </si>
  <si>
    <t xml:space="preserve">≥ %85</t>
  </si>
  <si>
    <t xml:space="preserve">Lokal simülatör iç döngü olur, Freya yalnızca onaylar. GEPA açılır.</t>
  </si>
  <si>
    <t xml:space="preserve">%70–85</t>
  </si>
  <si>
    <t xml:space="preserve">Lokal yalnızca bariz kötüleri eler; sıralama Freya'da yapılır.</t>
  </si>
  <si>
    <t xml:space="preserve">&lt; %70</t>
  </si>
  <si>
    <t xml:space="preserve">Lokal yargıç bırakılır, yalnızca Freya verdict'i kullanılır. GEPA iptal.</t>
  </si>
  <si>
    <t xml:space="preserve">T0.3</t>
  </si>
  <si>
    <t xml:space="preserve">Unit test skoru ile Freya skoru sıralaması (5 varyant)</t>
  </si>
  <si>
    <t xml:space="preserve">Spearman ≥ 0.6</t>
  </si>
  <si>
    <t xml:space="preserve">Unit testler varyant eleme ve best-of-K puanlaması için kullanılır.</t>
  </si>
  <si>
    <t xml:space="preserve">Spearman &lt; 0.6</t>
  </si>
  <si>
    <t xml:space="preserve">Unit testler yalnızca regresyon kontrolü olarak kalır.</t>
  </si>
  <si>
    <t xml:space="preserve">1. Büyük kaldıraçlar</t>
  </si>
  <si>
    <t xml:space="preserve">T1.1</t>
  </si>
  <si>
    <t xml:space="preserve">Agent modeli taraması</t>
  </si>
  <si>
    <t xml:space="preserve">Model seçilebiliyorsa</t>
  </si>
  <si>
    <t xml:space="preserve">En iyi model gürültünün üstünde önde</t>
  </si>
  <si>
    <t xml:space="preserve">O model kilitlenir, tüm testler onunla sürer.</t>
  </si>
  <si>
    <t xml:space="preserve">Fark gürültü içinde</t>
  </si>
  <si>
    <t xml:space="preserve">Daha düşük gecikmeli ya da ucuz olan seçilir.</t>
  </si>
  <si>
    <t xml:space="preserve">T1.2</t>
  </si>
  <si>
    <t xml:space="preserve">Tek çağrılık builder mi, extract → template mi</t>
  </si>
  <si>
    <t xml:space="preserve">Template ≥ tek çağrı (eşit bile olsa)</t>
  </si>
  <si>
    <t xml:space="preserve">Template seçilir; final başka bir bankanın brief'i olacak.</t>
  </si>
  <si>
    <t xml:space="preserve">Tek çağrı practice'te kazanıyor ama sahte brief'lerde kaybediyor</t>
  </si>
  <si>
    <t xml:space="preserve">Yine template.</t>
  </si>
  <si>
    <t xml:space="preserve">Tek çağrı her yerde kazanıyor</t>
  </si>
  <si>
    <t xml:space="preserve">Tek çağrı tutulur; template onun çıktısından öğrenilerek yeniden yazılır.</t>
  </si>
  <si>
    <t xml:space="preserve">T1.3</t>
  </si>
  <si>
    <t xml:space="preserve">Sabit uyumlu açılış mı, generic açılış mı</t>
  </si>
  <si>
    <t xml:space="preserve">Disclosure ve üçüncü şahıs case'leri iyileşiyor, genel skor düşmüyor</t>
  </si>
  <si>
    <t xml:space="preserve">Sabit açılış kalıcı olur.</t>
  </si>
  <si>
    <t xml:space="preserve">Genel skor düşüyor</t>
  </si>
  <si>
    <t xml:space="preserve">Açılış kısaltılır, yalnızca brief'in zorunlu kıldığı ifadeler bırakılır.</t>
  </si>
  <si>
    <t xml:space="preserve">T1.4</t>
  </si>
  <si>
    <t xml:space="preserve">Kimlik doğrulama: prompt kuralı mı, yapısal adım mı</t>
  </si>
  <si>
    <t xml:space="preserve">Üçüncü şahıs, yanlış kişi ve doğrulayamayan case'leri ayrı ölçülür</t>
  </si>
  <si>
    <t xml:space="preserve">Bu grupta yapısal adım daha iyi, genel skor düşmüyor</t>
  </si>
  <si>
    <t xml:space="preserve">Yapısal adım seçilir.</t>
  </si>
  <si>
    <t xml:space="preserve">Yapısal adım doğru kişiyle akışı bozuyor</t>
  </si>
  <si>
    <t xml:space="preserve">Prompt kuralı tutulur, kritik an unit testle korunur.</t>
  </si>
  <si>
    <t xml:space="preserve">T1.5</t>
  </si>
  <si>
    <t xml:space="preserve">Tool açıklamaları: ham mı, yeniden yazılmış mı</t>
  </si>
  <si>
    <t xml:space="preserve">Unit testler iyileşiyor, simülasyon düşmüyor</t>
  </si>
  <si>
    <t xml:space="preserve">Yeniden yazılmış açıklamalar kalıcı olur.</t>
  </si>
  <si>
    <t xml:space="preserve">Değişiklik yok</t>
  </si>
  <si>
    <t xml:space="preserve">Yeniden yazılmış kalır; zararsız ve sahte brief'lerde koruyucu.</t>
  </si>
  <si>
    <t xml:space="preserve">T1.6</t>
  </si>
  <si>
    <t xml:space="preserve">Müşteri verisi: prompt'a sabit mi, tool ile mi</t>
  </si>
  <si>
    <t xml:space="preserve">Yanlış tutar/tarih hatası azalan taraf belli</t>
  </si>
  <si>
    <t xml:space="preserve">O seçilir.</t>
  </si>
  <si>
    <t xml:space="preserve">Eşit</t>
  </si>
  <si>
    <t xml:space="preserve">Sabitleme seçilir, ama yalnızca kimlik testi üçüncü şahsa sızıntı göstermiyorsa.</t>
  </si>
  <si>
    <t xml:space="preserve">T1.7</t>
  </si>
  <si>
    <t xml:space="preserve">Tek prompt mu, workflow mu</t>
  </si>
  <si>
    <t xml:space="preserve">Workflow API varsa; 2 saatlik zaman kutusu</t>
  </si>
  <si>
    <t xml:space="preserve">Workflow gürültünün üstünde önde</t>
  </si>
  <si>
    <t xml:space="preserve">Workflow seçilir, AFlow-lite açılır.</t>
  </si>
  <si>
    <t xml:space="preserve">Tek prompt kalır, daha az hata noktası.</t>
  </si>
  <si>
    <t xml:space="preserve">Deploy ya da routing hatalı (flaky)</t>
  </si>
  <si>
    <t xml:space="preserve">Workflow tamamen bırakılır.</t>
  </si>
  <si>
    <t xml:space="preserve">Builder modeli, agent sıcaklığı</t>
  </si>
  <si>
    <t xml:space="preserve">Test edilmez</t>
  </si>
  <si>
    <t xml:space="preserve">Builder'da en iyi frontier model; agent sıcaklığı 0–0.3. Bunlara run harcanmaz.</t>
  </si>
  <si>
    <t xml:space="preserve">2. Davranış paketi</t>
  </si>
  <si>
    <t xml:space="preserve">T2.1</t>
  </si>
  <si>
    <t xml:space="preserve">P1 paketi mi, mevcut en iyi mi</t>
  </si>
  <si>
    <t xml:space="preserve">Önce yargıç gerekçeleri kümelenir; en sık 5–8 hata tipi paketi belirler</t>
  </si>
  <si>
    <t xml:space="preserve">P1 gürültünün üstünde önde</t>
  </si>
  <si>
    <t xml:space="preserve">P1 kilitlenir. Yalnızca prompt'u %30'dan fazla uzatan maddeler tek tek çıkarılıp test edilir.</t>
  </si>
  <si>
    <t xml:space="preserve">Paket ikiye bölünür, hangi yarının zarar verdiği bulunur (ikili arama).</t>
  </si>
  <si>
    <t xml:space="preserve">P1 geride</t>
  </si>
  <si>
    <t xml:space="preserve">İkili aramayla bir şeyi kıran madde bulunup çıkarılır.</t>
  </si>
  <si>
    <t xml:space="preserve">T2.2</t>
  </si>
  <si>
    <t xml:space="preserve">Müzakere sırası: önce tam ödeme mi, direkt plan mı</t>
  </si>
  <si>
    <t xml:space="preserve">Paketten sonra, run kaldıysa</t>
  </si>
  <si>
    <t xml:space="preserve">İlgili case'lerde kazanan sıra belli</t>
  </si>
  <si>
    <t xml:space="preserve">Kazanan sıra builder kuralı olur.</t>
  </si>
  <si>
    <t xml:space="preserve">T2.3</t>
  </si>
  <si>
    <t xml:space="preserve">Plan limitleri: tablo mu, cümle mi</t>
  </si>
  <si>
    <t xml:space="preserve">Yanlış tutar hatasını azaltan belli</t>
  </si>
  <si>
    <t xml:space="preserve">T2.4</t>
  </si>
  <si>
    <t xml:space="preserve">Örnek diyaloglar mı, hiç örnek yok mu</t>
  </si>
  <si>
    <t xml:space="preserve">Kazanç gürültünün altında</t>
  </si>
  <si>
    <t xml:space="preserve">Örnekler çıkarılır; prompt kısa kalır.</t>
  </si>
  <si>
    <t xml:space="preserve">T2.5</t>
  </si>
  <si>
    <t xml:space="preserve">Türkçe brief'e İngilizce talimat mı, Türkçe talimat mı</t>
  </si>
  <si>
    <t xml:space="preserve">Kazanan dil belli</t>
  </si>
  <si>
    <t xml:space="preserve">Kazanan dil builder'ın varsayılanı olur.</t>
  </si>
  <si>
    <t xml:space="preserve">T2.6</t>
  </si>
  <si>
    <t xml:space="preserve">Belirsiz kurala muhafazakâr okuma mı, serbest okuma mı</t>
  </si>
  <si>
    <t xml:space="preserve">Kazanan okuma belli</t>
  </si>
  <si>
    <t xml:space="preserve">Kazanan okuma builder'ın genel kuralı olur.</t>
  </si>
  <si>
    <t xml:space="preserve">3. Builder süreci</t>
  </si>
  <si>
    <t xml:space="preserve">T3.1</t>
  </si>
  <si>
    <t xml:space="preserve">Self-check (kural kural kontrol + onarım, simülasyonsuz)</t>
  </si>
  <si>
    <t xml:space="preserve">Practice'te ve sahte brief'lerde düşüş yok</t>
  </si>
  <si>
    <t xml:space="preserve">Kalıcı olur.</t>
  </si>
  <si>
    <t xml:space="preserve">Düşüş var</t>
  </si>
  <si>
    <t xml:space="preserve">Onarım adımı kapatılır, yalnızca eksik raporu bırakılır.</t>
  </si>
  <si>
    <t xml:space="preserve">T3.2</t>
  </si>
  <si>
    <t xml:space="preserve">Best-of-K, unit testlerle puanlanan</t>
  </si>
  <si>
    <t xml:space="preserve">Yalnızca T0.3 Spearman ≥ 0.6 ise</t>
  </si>
  <si>
    <t xml:space="preserve">Self-check'e göre gürültünün üstünde önde</t>
  </si>
  <si>
    <t xml:space="preserve">Builder'a eklenir, değerlendirme süre sınırına uyuyorsa.</t>
  </si>
  <si>
    <t xml:space="preserve">Eklenmez; basit olan kalır.</t>
  </si>
  <si>
    <t xml:space="preserve">T3.3</t>
  </si>
  <si>
    <t xml:space="preserve">Best-of-K, simülasyon + yargıçla puanlanan</t>
  </si>
  <si>
    <t xml:space="preserve">Yalnızca yargıç ≥ %85 ve builder değerlendirmede simülasyon çalıştırabiliyorsa</t>
  </si>
  <si>
    <t xml:space="preserve">Önde</t>
  </si>
  <si>
    <t xml:space="preserve">Eklenir; ardından bir onarım turu denenir.</t>
  </si>
  <si>
    <t xml:space="preserve">Eklenmez.</t>
  </si>
  <si>
    <t xml:space="preserve">4. Arama ve optimizasyon</t>
  </si>
  <si>
    <t xml:space="preserve">T4.1</t>
  </si>
  <si>
    <t xml:space="preserve">GEPA-lite, agent template'i üzerinde (Pareto: brief ve case tipi başına en iyi aday)</t>
  </si>
  <si>
    <t xml:space="preserve">Yalnızca yargıç ≥ %85 ise</t>
  </si>
  <si>
    <t xml:space="preserve">En iyi 3 aday Freya'da gürültünün üstünde önde, sahte brief'lerde düşüş yok</t>
  </si>
  <si>
    <t xml:space="preserve">Kurallar template'e birleştirilir.</t>
  </si>
  <si>
    <t xml:space="preserve">Lokal skor artıyor ama Freya skoru artmıyor</t>
  </si>
  <si>
    <t xml:space="preserve">Yargıç ile Freya uyuşmuyor demektir. GEPA bırakılır.</t>
  </si>
  <si>
    <t xml:space="preserve">T4.2</t>
  </si>
  <si>
    <t xml:space="preserve">AFlow-lite: 3–4 elle yapılmış graf şekli + bir tur LLM düzenlemesi</t>
  </si>
  <si>
    <t xml:space="preserve">Yalnızca T1.7'de workflow kazandıysa</t>
  </si>
  <si>
    <t xml:space="preserve">Bir şekil gürültünün üstünde önde</t>
  </si>
  <si>
    <t xml:space="preserve">O graf seçilir.</t>
  </si>
  <si>
    <t xml:space="preserve">Basit graf kalır.</t>
  </si>
  <si>
    <t xml:space="preserve">T4.3</t>
  </si>
  <si>
    <t xml:space="preserve">Dersler kütüphanesi</t>
  </si>
  <si>
    <t xml:space="preserve">Her durumda</t>
  </si>
  <si>
    <t xml:space="preserve">Practice'te tekrarlayan hatalar genel kurallara dönüştürülüp builder template'ine eklenir.</t>
  </si>
  <si>
    <t xml:space="preserve">Her değişiklik için kabul kapısı</t>
  </si>
  <si>
    <t xml:space="preserve">Bir değişiklik ancak üç koşul birlikte sağlanırsa kalıcı olur. Yalnızca practice brief'te işe yarayan değişiklik reddedilir.</t>
  </si>
  <si>
    <t xml:space="preserve">#</t>
  </si>
  <si>
    <t xml:space="preserve">Koşul</t>
  </si>
  <si>
    <t xml:space="preserve">Practice'te baseline'dan kötü değil.</t>
  </si>
  <si>
    <t xml:space="preserve">En az 3 sahte brief'te düşüş yok.</t>
  </si>
  <si>
    <t xml:space="preserve">Builder tüm sahte brief'lerde hatasız agent üretiyor.</t>
  </si>
  <si>
    <t xml:space="preserve">Durum özeti</t>
  </si>
  <si>
    <t xml:space="preserve">Test Planı sayfasındaki Durum sütunundan otomatik sayılır (satır = olası sonuç).</t>
  </si>
  <si>
    <t xml:space="preserve">Satır sayısı</t>
  </si>
  <si>
    <t xml:space="preserve">Koşuyor</t>
  </si>
  <si>
    <t xml:space="preserve">Bu sonuç çıktı</t>
  </si>
  <si>
    <t xml:space="preserve">Bu sonuç çıkmadı</t>
  </si>
  <si>
    <t xml:space="preserve">Atlandı</t>
  </si>
  <si>
    <t xml:space="preserve">Toplam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</si>
</sst>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DE7F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DE7F6"/>
        <bgColor rgb="FFF2F2F2"/>
      </patternFill>
    </fill>
    <fill>
      <patternFill patternType="solid">
        <fgColor rgb="FFF2F2F2"/>
        <bgColor rgb="FFEDE7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38"/>
    <col collapsed="false" customWidth="true" hidden="false" outlineLevel="0" max="6" min="6" style="0" width="52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6" t="s">
        <v>17</v>
      </c>
      <c r="H5" s="6"/>
      <c r="I5" s="6"/>
    </row>
    <row r="6" customFormat="false" ht="23.85" hidden="false" customHeight="false" outlineLevel="0" collapsed="false">
      <c r="A6" s="4" t="s">
        <v>11</v>
      </c>
      <c r="B6" s="4" t="s">
        <v>18</v>
      </c>
      <c r="C6" s="5" t="s">
        <v>19</v>
      </c>
      <c r="D6" s="5" t="s">
        <v>14</v>
      </c>
      <c r="E6" s="5" t="s">
        <v>20</v>
      </c>
      <c r="F6" s="5" t="s">
        <v>21</v>
      </c>
      <c r="G6" s="6" t="s">
        <v>17</v>
      </c>
      <c r="H6" s="6"/>
      <c r="I6" s="6"/>
    </row>
    <row r="7" customFormat="false" ht="15" hidden="false" customHeight="false" outlineLevel="0" collapsed="false">
      <c r="A7" s="4" t="s">
        <v>11</v>
      </c>
      <c r="B7" s="4" t="s">
        <v>18</v>
      </c>
      <c r="C7" s="5" t="s">
        <v>19</v>
      </c>
      <c r="D7" s="5" t="s">
        <v>14</v>
      </c>
      <c r="E7" s="5" t="s">
        <v>22</v>
      </c>
      <c r="F7" s="5" t="s">
        <v>23</v>
      </c>
      <c r="G7" s="6" t="s">
        <v>17</v>
      </c>
      <c r="H7" s="6"/>
      <c r="I7" s="6"/>
    </row>
    <row r="8" customFormat="false" ht="23.85" hidden="false" customHeight="false" outlineLevel="0" collapsed="false">
      <c r="A8" s="4" t="s">
        <v>11</v>
      </c>
      <c r="B8" s="4" t="s">
        <v>18</v>
      </c>
      <c r="C8" s="5" t="s">
        <v>19</v>
      </c>
      <c r="D8" s="5" t="s">
        <v>14</v>
      </c>
      <c r="E8" s="5" t="s">
        <v>24</v>
      </c>
      <c r="F8" s="5" t="s">
        <v>25</v>
      </c>
      <c r="G8" s="6" t="s">
        <v>17</v>
      </c>
      <c r="H8" s="6"/>
      <c r="I8" s="6"/>
    </row>
    <row r="9" customFormat="false" ht="23.85" hidden="false" customHeight="false" outlineLevel="0" collapsed="false">
      <c r="A9" s="4" t="s">
        <v>11</v>
      </c>
      <c r="B9" s="4" t="s">
        <v>26</v>
      </c>
      <c r="C9" s="5" t="s">
        <v>27</v>
      </c>
      <c r="D9" s="5" t="s">
        <v>14</v>
      </c>
      <c r="E9" s="5" t="s">
        <v>28</v>
      </c>
      <c r="F9" s="5" t="s">
        <v>29</v>
      </c>
      <c r="G9" s="6" t="s">
        <v>17</v>
      </c>
      <c r="H9" s="6"/>
      <c r="I9" s="6"/>
    </row>
    <row r="10" customFormat="false" ht="23.85" hidden="false" customHeight="false" outlineLevel="0" collapsed="false">
      <c r="A10" s="4" t="s">
        <v>11</v>
      </c>
      <c r="B10" s="4" t="s">
        <v>26</v>
      </c>
      <c r="C10" s="5" t="s">
        <v>27</v>
      </c>
      <c r="D10" s="5" t="s">
        <v>14</v>
      </c>
      <c r="E10" s="5" t="s">
        <v>30</v>
      </c>
      <c r="F10" s="5" t="s">
        <v>31</v>
      </c>
      <c r="G10" s="6" t="s">
        <v>17</v>
      </c>
      <c r="H10" s="6"/>
      <c r="I10" s="6"/>
    </row>
    <row r="11" customFormat="false" ht="15" hidden="false" customHeight="false" outlineLevel="0" collapsed="false">
      <c r="A11" s="7" t="s">
        <v>32</v>
      </c>
      <c r="B11" s="7" t="s">
        <v>33</v>
      </c>
      <c r="C11" s="5" t="s">
        <v>34</v>
      </c>
      <c r="D11" s="5" t="s">
        <v>35</v>
      </c>
      <c r="E11" s="5" t="s">
        <v>36</v>
      </c>
      <c r="F11" s="5" t="s">
        <v>37</v>
      </c>
      <c r="G11" s="6" t="s">
        <v>17</v>
      </c>
      <c r="H11" s="6"/>
      <c r="I11" s="6"/>
    </row>
    <row r="12" customFormat="false" ht="15" hidden="false" customHeight="false" outlineLevel="0" collapsed="false">
      <c r="A12" s="7" t="s">
        <v>32</v>
      </c>
      <c r="B12" s="7" t="s">
        <v>33</v>
      </c>
      <c r="C12" s="5" t="s">
        <v>34</v>
      </c>
      <c r="D12" s="5" t="s">
        <v>35</v>
      </c>
      <c r="E12" s="5" t="s">
        <v>38</v>
      </c>
      <c r="F12" s="5" t="s">
        <v>39</v>
      </c>
      <c r="G12" s="6" t="s">
        <v>17</v>
      </c>
      <c r="H12" s="6"/>
      <c r="I12" s="6"/>
    </row>
    <row r="13" customFormat="false" ht="15" hidden="false" customHeight="false" outlineLevel="0" collapsed="false">
      <c r="A13" s="7" t="s">
        <v>32</v>
      </c>
      <c r="B13" s="7" t="s">
        <v>40</v>
      </c>
      <c r="C13" s="5" t="s">
        <v>41</v>
      </c>
      <c r="D13" s="5" t="s">
        <v>14</v>
      </c>
      <c r="E13" s="5" t="s">
        <v>42</v>
      </c>
      <c r="F13" s="5" t="s">
        <v>43</v>
      </c>
      <c r="G13" s="6" t="s">
        <v>17</v>
      </c>
      <c r="H13" s="6"/>
      <c r="I13" s="6"/>
    </row>
    <row r="14" customFormat="false" ht="23.85" hidden="false" customHeight="false" outlineLevel="0" collapsed="false">
      <c r="A14" s="7" t="s">
        <v>32</v>
      </c>
      <c r="B14" s="7" t="s">
        <v>40</v>
      </c>
      <c r="C14" s="5" t="s">
        <v>41</v>
      </c>
      <c r="D14" s="5" t="s">
        <v>14</v>
      </c>
      <c r="E14" s="5" t="s">
        <v>44</v>
      </c>
      <c r="F14" s="5" t="s">
        <v>45</v>
      </c>
      <c r="G14" s="6" t="s">
        <v>17</v>
      </c>
      <c r="H14" s="6"/>
      <c r="I14" s="6"/>
    </row>
    <row r="15" customFormat="false" ht="23.85" hidden="false" customHeight="false" outlineLevel="0" collapsed="false">
      <c r="A15" s="7" t="s">
        <v>32</v>
      </c>
      <c r="B15" s="7" t="s">
        <v>40</v>
      </c>
      <c r="C15" s="5" t="s">
        <v>41</v>
      </c>
      <c r="D15" s="5" t="s">
        <v>14</v>
      </c>
      <c r="E15" s="5" t="s">
        <v>46</v>
      </c>
      <c r="F15" s="5" t="s">
        <v>47</v>
      </c>
      <c r="G15" s="6" t="s">
        <v>17</v>
      </c>
      <c r="H15" s="6"/>
      <c r="I15" s="6"/>
    </row>
    <row r="16" customFormat="false" ht="23.85" hidden="false" customHeight="false" outlineLevel="0" collapsed="false">
      <c r="A16" s="7" t="s">
        <v>32</v>
      </c>
      <c r="B16" s="7" t="s">
        <v>48</v>
      </c>
      <c r="C16" s="5" t="s">
        <v>49</v>
      </c>
      <c r="D16" s="5" t="s">
        <v>14</v>
      </c>
      <c r="E16" s="5" t="s">
        <v>50</v>
      </c>
      <c r="F16" s="5" t="s">
        <v>51</v>
      </c>
      <c r="G16" s="6" t="s">
        <v>17</v>
      </c>
      <c r="H16" s="6"/>
      <c r="I16" s="6"/>
    </row>
    <row r="17" customFormat="false" ht="15" hidden="false" customHeight="false" outlineLevel="0" collapsed="false">
      <c r="A17" s="7" t="s">
        <v>32</v>
      </c>
      <c r="B17" s="7" t="s">
        <v>48</v>
      </c>
      <c r="C17" s="5" t="s">
        <v>49</v>
      </c>
      <c r="D17" s="5" t="s">
        <v>14</v>
      </c>
      <c r="E17" s="5" t="s">
        <v>52</v>
      </c>
      <c r="F17" s="5" t="s">
        <v>53</v>
      </c>
      <c r="G17" s="6" t="s">
        <v>17</v>
      </c>
      <c r="H17" s="6"/>
      <c r="I17" s="6"/>
    </row>
    <row r="18" customFormat="false" ht="23.85" hidden="false" customHeight="false" outlineLevel="0" collapsed="false">
      <c r="A18" s="7" t="s">
        <v>32</v>
      </c>
      <c r="B18" s="7" t="s">
        <v>54</v>
      </c>
      <c r="C18" s="5" t="s">
        <v>55</v>
      </c>
      <c r="D18" s="5" t="s">
        <v>56</v>
      </c>
      <c r="E18" s="5" t="s">
        <v>57</v>
      </c>
      <c r="F18" s="5" t="s">
        <v>58</v>
      </c>
      <c r="G18" s="6" t="s">
        <v>17</v>
      </c>
      <c r="H18" s="6"/>
      <c r="I18" s="6"/>
    </row>
    <row r="19" customFormat="false" ht="23.85" hidden="false" customHeight="false" outlineLevel="0" collapsed="false">
      <c r="A19" s="7" t="s">
        <v>32</v>
      </c>
      <c r="B19" s="7" t="s">
        <v>54</v>
      </c>
      <c r="C19" s="5" t="s">
        <v>55</v>
      </c>
      <c r="D19" s="5" t="s">
        <v>56</v>
      </c>
      <c r="E19" s="5" t="s">
        <v>59</v>
      </c>
      <c r="F19" s="5" t="s">
        <v>60</v>
      </c>
      <c r="G19" s="6" t="s">
        <v>17</v>
      </c>
      <c r="H19" s="6"/>
      <c r="I19" s="6"/>
    </row>
    <row r="20" customFormat="false" ht="23.85" hidden="false" customHeight="false" outlineLevel="0" collapsed="false">
      <c r="A20" s="7" t="s">
        <v>32</v>
      </c>
      <c r="B20" s="7" t="s">
        <v>61</v>
      </c>
      <c r="C20" s="5" t="s">
        <v>62</v>
      </c>
      <c r="D20" s="5" t="s">
        <v>14</v>
      </c>
      <c r="E20" s="5" t="s">
        <v>63</v>
      </c>
      <c r="F20" s="5" t="s">
        <v>64</v>
      </c>
      <c r="G20" s="6" t="s">
        <v>17</v>
      </c>
      <c r="H20" s="6"/>
      <c r="I20" s="6"/>
    </row>
    <row r="21" customFormat="false" ht="23.85" hidden="false" customHeight="false" outlineLevel="0" collapsed="false">
      <c r="A21" s="7" t="s">
        <v>32</v>
      </c>
      <c r="B21" s="7" t="s">
        <v>61</v>
      </c>
      <c r="C21" s="5" t="s">
        <v>62</v>
      </c>
      <c r="D21" s="5" t="s">
        <v>14</v>
      </c>
      <c r="E21" s="5" t="s">
        <v>65</v>
      </c>
      <c r="F21" s="5" t="s">
        <v>66</v>
      </c>
      <c r="G21" s="6" t="s">
        <v>17</v>
      </c>
      <c r="H21" s="6"/>
      <c r="I21" s="6"/>
    </row>
    <row r="22" customFormat="false" ht="15" hidden="false" customHeight="false" outlineLevel="0" collapsed="false">
      <c r="A22" s="7" t="s">
        <v>32</v>
      </c>
      <c r="B22" s="7" t="s">
        <v>67</v>
      </c>
      <c r="C22" s="5" t="s">
        <v>68</v>
      </c>
      <c r="D22" s="5" t="s">
        <v>14</v>
      </c>
      <c r="E22" s="5" t="s">
        <v>69</v>
      </c>
      <c r="F22" s="5" t="s">
        <v>70</v>
      </c>
      <c r="G22" s="6" t="s">
        <v>17</v>
      </c>
      <c r="H22" s="6"/>
      <c r="I22" s="6"/>
    </row>
    <row r="23" customFormat="false" ht="23.85" hidden="false" customHeight="false" outlineLevel="0" collapsed="false">
      <c r="A23" s="7" t="s">
        <v>32</v>
      </c>
      <c r="B23" s="7" t="s">
        <v>67</v>
      </c>
      <c r="C23" s="5" t="s">
        <v>68</v>
      </c>
      <c r="D23" s="5" t="s">
        <v>14</v>
      </c>
      <c r="E23" s="5" t="s">
        <v>71</v>
      </c>
      <c r="F23" s="5" t="s">
        <v>72</v>
      </c>
      <c r="G23" s="6" t="s">
        <v>17</v>
      </c>
      <c r="H23" s="6"/>
      <c r="I23" s="6"/>
    </row>
    <row r="24" customFormat="false" ht="23.85" hidden="false" customHeight="false" outlineLevel="0" collapsed="false">
      <c r="A24" s="7" t="s">
        <v>32</v>
      </c>
      <c r="B24" s="7" t="s">
        <v>73</v>
      </c>
      <c r="C24" s="5" t="s">
        <v>74</v>
      </c>
      <c r="D24" s="5" t="s">
        <v>75</v>
      </c>
      <c r="E24" s="5" t="s">
        <v>76</v>
      </c>
      <c r="F24" s="5" t="s">
        <v>77</v>
      </c>
      <c r="G24" s="6" t="s">
        <v>17</v>
      </c>
      <c r="H24" s="6"/>
      <c r="I24" s="6"/>
    </row>
    <row r="25" customFormat="false" ht="23.85" hidden="false" customHeight="false" outlineLevel="0" collapsed="false">
      <c r="A25" s="7" t="s">
        <v>32</v>
      </c>
      <c r="B25" s="7" t="s">
        <v>73</v>
      </c>
      <c r="C25" s="5" t="s">
        <v>74</v>
      </c>
      <c r="D25" s="5" t="s">
        <v>75</v>
      </c>
      <c r="E25" s="5" t="s">
        <v>71</v>
      </c>
      <c r="F25" s="5" t="s">
        <v>78</v>
      </c>
      <c r="G25" s="6" t="s">
        <v>17</v>
      </c>
      <c r="H25" s="6"/>
      <c r="I25" s="6"/>
    </row>
    <row r="26" customFormat="false" ht="23.85" hidden="false" customHeight="false" outlineLevel="0" collapsed="false">
      <c r="A26" s="7" t="s">
        <v>32</v>
      </c>
      <c r="B26" s="7" t="s">
        <v>73</v>
      </c>
      <c r="C26" s="5" t="s">
        <v>74</v>
      </c>
      <c r="D26" s="5" t="s">
        <v>75</v>
      </c>
      <c r="E26" s="5" t="s">
        <v>79</v>
      </c>
      <c r="F26" s="5" t="s">
        <v>80</v>
      </c>
      <c r="G26" s="6" t="s">
        <v>17</v>
      </c>
      <c r="H26" s="6"/>
      <c r="I26" s="6"/>
    </row>
    <row r="27" customFormat="false" ht="23.85" hidden="false" customHeight="false" outlineLevel="0" collapsed="false">
      <c r="A27" s="7" t="s">
        <v>32</v>
      </c>
      <c r="B27" s="7" t="s">
        <v>14</v>
      </c>
      <c r="C27" s="5" t="s">
        <v>81</v>
      </c>
      <c r="D27" s="5" t="s">
        <v>14</v>
      </c>
      <c r="E27" s="5" t="s">
        <v>82</v>
      </c>
      <c r="F27" s="5" t="s">
        <v>83</v>
      </c>
      <c r="G27" s="6" t="s">
        <v>17</v>
      </c>
      <c r="H27" s="6"/>
      <c r="I27" s="6"/>
    </row>
    <row r="28" customFormat="false" ht="23.85" hidden="false" customHeight="false" outlineLevel="0" collapsed="false">
      <c r="A28" s="8" t="s">
        <v>84</v>
      </c>
      <c r="B28" s="8" t="s">
        <v>85</v>
      </c>
      <c r="C28" s="5" t="s">
        <v>86</v>
      </c>
      <c r="D28" s="5" t="s">
        <v>87</v>
      </c>
      <c r="E28" s="5" t="s">
        <v>88</v>
      </c>
      <c r="F28" s="5" t="s">
        <v>89</v>
      </c>
      <c r="G28" s="6" t="s">
        <v>17</v>
      </c>
      <c r="H28" s="6"/>
      <c r="I28" s="6"/>
    </row>
    <row r="29" customFormat="false" ht="23.85" hidden="false" customHeight="false" outlineLevel="0" collapsed="false">
      <c r="A29" s="8" t="s">
        <v>84</v>
      </c>
      <c r="B29" s="8" t="s">
        <v>85</v>
      </c>
      <c r="C29" s="5" t="s">
        <v>86</v>
      </c>
      <c r="D29" s="5" t="s">
        <v>87</v>
      </c>
      <c r="E29" s="5" t="s">
        <v>71</v>
      </c>
      <c r="F29" s="5" t="s">
        <v>90</v>
      </c>
      <c r="G29" s="6" t="s">
        <v>17</v>
      </c>
      <c r="H29" s="6"/>
      <c r="I29" s="6"/>
    </row>
    <row r="30" customFormat="false" ht="23.85" hidden="false" customHeight="false" outlineLevel="0" collapsed="false">
      <c r="A30" s="8" t="s">
        <v>84</v>
      </c>
      <c r="B30" s="8" t="s">
        <v>85</v>
      </c>
      <c r="C30" s="5" t="s">
        <v>86</v>
      </c>
      <c r="D30" s="5" t="s">
        <v>87</v>
      </c>
      <c r="E30" s="5" t="s">
        <v>91</v>
      </c>
      <c r="F30" s="5" t="s">
        <v>92</v>
      </c>
      <c r="G30" s="6" t="s">
        <v>17</v>
      </c>
      <c r="H30" s="6"/>
      <c r="I30" s="6"/>
    </row>
    <row r="31" customFormat="false" ht="23.85" hidden="false" customHeight="false" outlineLevel="0" collapsed="false">
      <c r="A31" s="8" t="s">
        <v>84</v>
      </c>
      <c r="B31" s="8" t="s">
        <v>93</v>
      </c>
      <c r="C31" s="5" t="s">
        <v>94</v>
      </c>
      <c r="D31" s="5" t="s">
        <v>95</v>
      </c>
      <c r="E31" s="5" t="s">
        <v>96</v>
      </c>
      <c r="F31" s="5" t="s">
        <v>97</v>
      </c>
      <c r="G31" s="6" t="s">
        <v>17</v>
      </c>
      <c r="H31" s="6"/>
      <c r="I31" s="6"/>
    </row>
    <row r="32" customFormat="false" ht="15" hidden="false" customHeight="false" outlineLevel="0" collapsed="false">
      <c r="A32" s="8" t="s">
        <v>84</v>
      </c>
      <c r="B32" s="8" t="s">
        <v>98</v>
      </c>
      <c r="C32" s="5" t="s">
        <v>99</v>
      </c>
      <c r="D32" s="5" t="s">
        <v>95</v>
      </c>
      <c r="E32" s="5" t="s">
        <v>100</v>
      </c>
      <c r="F32" s="5" t="s">
        <v>70</v>
      </c>
      <c r="G32" s="6" t="s">
        <v>17</v>
      </c>
      <c r="H32" s="6"/>
      <c r="I32" s="6"/>
    </row>
    <row r="33" customFormat="false" ht="15" hidden="false" customHeight="false" outlineLevel="0" collapsed="false">
      <c r="A33" s="8" t="s">
        <v>84</v>
      </c>
      <c r="B33" s="8" t="s">
        <v>101</v>
      </c>
      <c r="C33" s="5" t="s">
        <v>102</v>
      </c>
      <c r="D33" s="5" t="s">
        <v>95</v>
      </c>
      <c r="E33" s="5" t="s">
        <v>103</v>
      </c>
      <c r="F33" s="5" t="s">
        <v>104</v>
      </c>
      <c r="G33" s="6" t="s">
        <v>17</v>
      </c>
      <c r="H33" s="6"/>
      <c r="I33" s="6"/>
    </row>
    <row r="34" customFormat="false" ht="23.85" hidden="false" customHeight="false" outlineLevel="0" collapsed="false">
      <c r="A34" s="8" t="s">
        <v>84</v>
      </c>
      <c r="B34" s="8" t="s">
        <v>105</v>
      </c>
      <c r="C34" s="5" t="s">
        <v>106</v>
      </c>
      <c r="D34" s="5" t="s">
        <v>95</v>
      </c>
      <c r="E34" s="5" t="s">
        <v>107</v>
      </c>
      <c r="F34" s="5" t="s">
        <v>108</v>
      </c>
      <c r="G34" s="6" t="s">
        <v>17</v>
      </c>
      <c r="H34" s="6"/>
      <c r="I34" s="6"/>
    </row>
    <row r="35" customFormat="false" ht="23.85" hidden="false" customHeight="false" outlineLevel="0" collapsed="false">
      <c r="A35" s="8" t="s">
        <v>84</v>
      </c>
      <c r="B35" s="8" t="s">
        <v>109</v>
      </c>
      <c r="C35" s="5" t="s">
        <v>110</v>
      </c>
      <c r="D35" s="5" t="s">
        <v>95</v>
      </c>
      <c r="E35" s="5" t="s">
        <v>111</v>
      </c>
      <c r="F35" s="5" t="s">
        <v>112</v>
      </c>
      <c r="G35" s="6" t="s">
        <v>17</v>
      </c>
      <c r="H35" s="6"/>
      <c r="I35" s="6"/>
    </row>
    <row r="36" customFormat="false" ht="23.85" hidden="false" customHeight="false" outlineLevel="0" collapsed="false">
      <c r="A36" s="9" t="s">
        <v>113</v>
      </c>
      <c r="B36" s="9" t="s">
        <v>114</v>
      </c>
      <c r="C36" s="5" t="s">
        <v>115</v>
      </c>
      <c r="D36" s="5" t="s">
        <v>14</v>
      </c>
      <c r="E36" s="5" t="s">
        <v>116</v>
      </c>
      <c r="F36" s="5" t="s">
        <v>117</v>
      </c>
      <c r="G36" s="6" t="s">
        <v>17</v>
      </c>
      <c r="H36" s="6"/>
      <c r="I36" s="6"/>
    </row>
    <row r="37" customFormat="false" ht="23.85" hidden="false" customHeight="false" outlineLevel="0" collapsed="false">
      <c r="A37" s="9" t="s">
        <v>113</v>
      </c>
      <c r="B37" s="9" t="s">
        <v>114</v>
      </c>
      <c r="C37" s="5" t="s">
        <v>115</v>
      </c>
      <c r="D37" s="5" t="s">
        <v>14</v>
      </c>
      <c r="E37" s="5" t="s">
        <v>118</v>
      </c>
      <c r="F37" s="5" t="s">
        <v>119</v>
      </c>
      <c r="G37" s="6" t="s">
        <v>17</v>
      </c>
      <c r="H37" s="6"/>
      <c r="I37" s="6"/>
    </row>
    <row r="38" customFormat="false" ht="15" hidden="false" customHeight="false" outlineLevel="0" collapsed="false">
      <c r="A38" s="9" t="s">
        <v>113</v>
      </c>
      <c r="B38" s="9" t="s">
        <v>120</v>
      </c>
      <c r="C38" s="5" t="s">
        <v>121</v>
      </c>
      <c r="D38" s="5" t="s">
        <v>122</v>
      </c>
      <c r="E38" s="5" t="s">
        <v>123</v>
      </c>
      <c r="F38" s="5" t="s">
        <v>124</v>
      </c>
      <c r="G38" s="6" t="s">
        <v>17</v>
      </c>
      <c r="H38" s="6"/>
      <c r="I38" s="6"/>
    </row>
    <row r="39" customFormat="false" ht="15" hidden="false" customHeight="false" outlineLevel="0" collapsed="false">
      <c r="A39" s="9" t="s">
        <v>113</v>
      </c>
      <c r="B39" s="9" t="s">
        <v>120</v>
      </c>
      <c r="C39" s="5" t="s">
        <v>121</v>
      </c>
      <c r="D39" s="5" t="s">
        <v>122</v>
      </c>
      <c r="E39" s="5" t="s">
        <v>71</v>
      </c>
      <c r="F39" s="5" t="s">
        <v>125</v>
      </c>
      <c r="G39" s="6" t="s">
        <v>17</v>
      </c>
      <c r="H39" s="6"/>
      <c r="I39" s="6"/>
    </row>
    <row r="40" customFormat="false" ht="35.05" hidden="false" customHeight="false" outlineLevel="0" collapsed="false">
      <c r="A40" s="9" t="s">
        <v>113</v>
      </c>
      <c r="B40" s="9" t="s">
        <v>126</v>
      </c>
      <c r="C40" s="5" t="s">
        <v>127</v>
      </c>
      <c r="D40" s="5" t="s">
        <v>128</v>
      </c>
      <c r="E40" s="5" t="s">
        <v>129</v>
      </c>
      <c r="F40" s="5" t="s">
        <v>130</v>
      </c>
      <c r="G40" s="6" t="s">
        <v>17</v>
      </c>
      <c r="H40" s="6"/>
      <c r="I40" s="6"/>
    </row>
    <row r="41" customFormat="false" ht="35.05" hidden="false" customHeight="false" outlineLevel="0" collapsed="false">
      <c r="A41" s="9" t="s">
        <v>113</v>
      </c>
      <c r="B41" s="9" t="s">
        <v>126</v>
      </c>
      <c r="C41" s="5" t="s">
        <v>127</v>
      </c>
      <c r="D41" s="5" t="s">
        <v>128</v>
      </c>
      <c r="E41" s="5" t="s">
        <v>71</v>
      </c>
      <c r="F41" s="5" t="s">
        <v>131</v>
      </c>
      <c r="G41" s="6" t="s">
        <v>17</v>
      </c>
      <c r="H41" s="6"/>
      <c r="I41" s="6"/>
    </row>
    <row r="42" customFormat="false" ht="23.85" hidden="false" customHeight="false" outlineLevel="0" collapsed="false">
      <c r="A42" s="10" t="s">
        <v>132</v>
      </c>
      <c r="B42" s="10" t="s">
        <v>133</v>
      </c>
      <c r="C42" s="5" t="s">
        <v>134</v>
      </c>
      <c r="D42" s="5" t="s">
        <v>135</v>
      </c>
      <c r="E42" s="5" t="s">
        <v>136</v>
      </c>
      <c r="F42" s="5" t="s">
        <v>137</v>
      </c>
      <c r="G42" s="6" t="s">
        <v>17</v>
      </c>
      <c r="H42" s="6"/>
      <c r="I42" s="6"/>
    </row>
    <row r="43" customFormat="false" ht="23.85" hidden="false" customHeight="false" outlineLevel="0" collapsed="false">
      <c r="A43" s="10" t="s">
        <v>132</v>
      </c>
      <c r="B43" s="10" t="s">
        <v>133</v>
      </c>
      <c r="C43" s="5" t="s">
        <v>134</v>
      </c>
      <c r="D43" s="5" t="s">
        <v>135</v>
      </c>
      <c r="E43" s="5" t="s">
        <v>138</v>
      </c>
      <c r="F43" s="5" t="s">
        <v>139</v>
      </c>
      <c r="G43" s="6" t="s">
        <v>17</v>
      </c>
      <c r="H43" s="6"/>
      <c r="I43" s="6"/>
    </row>
    <row r="44" customFormat="false" ht="23.85" hidden="false" customHeight="false" outlineLevel="0" collapsed="false">
      <c r="A44" s="10" t="s">
        <v>132</v>
      </c>
      <c r="B44" s="10" t="s">
        <v>140</v>
      </c>
      <c r="C44" s="5" t="s">
        <v>141</v>
      </c>
      <c r="D44" s="5" t="s">
        <v>142</v>
      </c>
      <c r="E44" s="5" t="s">
        <v>143</v>
      </c>
      <c r="F44" s="5" t="s">
        <v>144</v>
      </c>
      <c r="G44" s="6" t="s">
        <v>17</v>
      </c>
      <c r="H44" s="6"/>
      <c r="I44" s="6"/>
    </row>
    <row r="45" customFormat="false" ht="23.85" hidden="false" customHeight="false" outlineLevel="0" collapsed="false">
      <c r="A45" s="10" t="s">
        <v>132</v>
      </c>
      <c r="B45" s="10" t="s">
        <v>140</v>
      </c>
      <c r="C45" s="5" t="s">
        <v>141</v>
      </c>
      <c r="D45" s="5" t="s">
        <v>142</v>
      </c>
      <c r="E45" s="5" t="s">
        <v>71</v>
      </c>
      <c r="F45" s="5" t="s">
        <v>145</v>
      </c>
      <c r="G45" s="6" t="s">
        <v>17</v>
      </c>
      <c r="H45" s="6"/>
      <c r="I45" s="6"/>
    </row>
    <row r="46" customFormat="false" ht="23.85" hidden="false" customHeight="false" outlineLevel="0" collapsed="false">
      <c r="A46" s="10" t="s">
        <v>132</v>
      </c>
      <c r="B46" s="10" t="s">
        <v>146</v>
      </c>
      <c r="C46" s="5" t="s">
        <v>147</v>
      </c>
      <c r="D46" s="5" t="s">
        <v>148</v>
      </c>
      <c r="E46" s="5" t="s">
        <v>14</v>
      </c>
      <c r="F46" s="5" t="s">
        <v>149</v>
      </c>
      <c r="G46" s="6" t="s">
        <v>17</v>
      </c>
      <c r="H46" s="6"/>
      <c r="I46" s="6"/>
    </row>
  </sheetData>
  <autoFilter ref="A4:I46"/>
  <dataValidations count="1">
    <dataValidation allowBlank="true" errorStyle="stop" operator="between" showDropDown="false" showErrorMessage="false" showInputMessage="false" sqref="G5:G46" type="list">
      <formula1>"Bekliyor,Koşuyor,Bu sonuç çıktı,Bu sonuç çıkmadı,Atlandı"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15" hidden="false" customHeight="false" outlineLevel="0" collapsed="false">
      <c r="A4" s="11" t="s">
        <v>152</v>
      </c>
      <c r="B4" s="11" t="s">
        <v>153</v>
      </c>
    </row>
    <row r="5" customFormat="false" ht="15" hidden="false" customHeight="false" outlineLevel="0" collapsed="false">
      <c r="A5" s="12" t="n">
        <v>1</v>
      </c>
      <c r="B5" s="12" t="s">
        <v>154</v>
      </c>
    </row>
    <row r="6" customFormat="false" ht="15" hidden="false" customHeight="false" outlineLevel="0" collapsed="false">
      <c r="A6" s="12" t="n">
        <v>2</v>
      </c>
      <c r="B6" s="12" t="s">
        <v>155</v>
      </c>
    </row>
    <row r="7" customFormat="false" ht="15" hidden="false" customHeight="false" outlineLevel="0" collapsed="false">
      <c r="A7" s="12" t="n">
        <v>3</v>
      </c>
      <c r="B7" s="1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15" hidden="false" customHeight="false" outlineLevel="0" collapsed="false">
      <c r="A4" s="11" t="s">
        <v>8</v>
      </c>
      <c r="B4" s="11" t="s">
        <v>159</v>
      </c>
    </row>
    <row r="5" customFormat="false" ht="15" hidden="false" customHeight="false" outlineLevel="0" collapsed="false">
      <c r="A5" s="12" t="s">
        <v>17</v>
      </c>
      <c r="B5" s="12" t="n">
        <f aca="false">COUNTIF('Test Planı'!$G$5:$G$46,A5)</f>
        <v>42</v>
      </c>
    </row>
    <row r="6" customFormat="false" ht="15" hidden="false" customHeight="false" outlineLevel="0" collapsed="false">
      <c r="A6" s="12" t="s">
        <v>160</v>
      </c>
      <c r="B6" s="12" t="n">
        <f aca="false">COUNTIF('Test Planı'!$G$5:$G$46,A6)</f>
        <v>0</v>
      </c>
    </row>
    <row r="7" customFormat="false" ht="15" hidden="false" customHeight="false" outlineLevel="0" collapsed="false">
      <c r="A7" s="12" t="s">
        <v>161</v>
      </c>
      <c r="B7" s="12" t="n">
        <f aca="false">COUNTIF('Test Planı'!$G$5:$G$46,A7)</f>
        <v>0</v>
      </c>
    </row>
    <row r="8" customFormat="false" ht="15" hidden="false" customHeight="false" outlineLevel="0" collapsed="false">
      <c r="A8" s="12" t="s">
        <v>162</v>
      </c>
      <c r="B8" s="12" t="n">
        <f aca="false">COUNTIF('Test Planı'!$G$5:$G$46,A8)</f>
        <v>0</v>
      </c>
    </row>
    <row r="9" customFormat="false" ht="15" hidden="false" customHeight="false" outlineLevel="0" collapsed="false">
      <c r="A9" s="12" t="s">
        <v>163</v>
      </c>
      <c r="B9" s="12" t="n">
        <f aca="false">COUNTIF('Test Planı'!$G$5:$G$46,A9)</f>
        <v>0</v>
      </c>
    </row>
    <row r="10" customFormat="false" ht="15" hidden="false" customHeight="false" outlineLevel="0" collapsed="false">
      <c r="A10" s="13" t="s">
        <v>164</v>
      </c>
      <c r="B10" s="13" t="n">
        <f aca="false">SUM(B5:B9)</f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2026-10-10T06:35:22Z</dcterms:created>
  <dc:creator>openpyxl</dc:creator>
  <dc:description/>
  <dc:language>en-US</dc:language>
  <cp:lastModifiedBy/>
  <dcterms:modified xsi:type="dcterms:W3CDTF">2026-10-10T06:35:22Z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